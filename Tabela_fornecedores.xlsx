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ocuments\DÉBORA-NOF\CURRICULO\CIÊNCIA DE DADOS\"/>
    </mc:Choice>
  </mc:AlternateContent>
  <xr:revisionPtr revIDLastSave="0" documentId="13_ncr:1_{72D3D343-9374-4D7C-B886-C9CF1E7C34E5}" xr6:coauthVersionLast="47" xr6:coauthVersionMax="47" xr10:uidLastSave="{00000000-0000-0000-0000-000000000000}"/>
  <bookViews>
    <workbookView xWindow="1560" yWindow="1560" windowWidth="21600" windowHeight="11295" xr2:uid="{2FDCD20A-B7E8-4F24-B151-22C55AC2ADFF}"/>
  </bookViews>
  <sheets>
    <sheet name="Suprimentos2" sheetId="5" r:id="rId1"/>
  </sheets>
  <definedNames>
    <definedName name="_xlnm._FilterDatabase" localSheetId="0" hidden="1">Suprimentos2!$A$1:$G$1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5" l="1"/>
  <c r="E2" i="5"/>
  <c r="E5" i="5"/>
  <c r="E4" i="5"/>
  <c r="G4" i="5" l="1"/>
  <c r="G5" i="5"/>
  <c r="F2" i="5"/>
  <c r="G2" i="5"/>
  <c r="F3" i="5"/>
  <c r="G3" i="5"/>
  <c r="F5" i="5" l="1"/>
  <c r="F4" i="5"/>
</calcChain>
</file>

<file path=xl/sharedStrings.xml><?xml version="1.0" encoding="utf-8"?>
<sst xmlns="http://schemas.openxmlformats.org/spreadsheetml/2006/main" count="11" uniqueCount="11">
  <si>
    <t>Máscara</t>
  </si>
  <si>
    <t>Seringa</t>
  </si>
  <si>
    <t>Economia</t>
  </si>
  <si>
    <t>Fornecedor</t>
  </si>
  <si>
    <t>A</t>
  </si>
  <si>
    <t>B</t>
  </si>
  <si>
    <t>C</t>
  </si>
  <si>
    <t>D</t>
  </si>
  <si>
    <t>Total</t>
  </si>
  <si>
    <t>Ranking</t>
  </si>
  <si>
    <t>Luvas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</si>
</sst>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0" xfId="0" applyFont="1"/>
    <xf numFmtId="0" fontId="2" fillId="0" borderId="1" xfId="0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" fontId="2" fillId="0" borderId="0" xfId="0" applyNumberFormat="1" applyFont="1" applyAlignment="1">
      <alignment vertical="center"/>
    </xf>
    <xf numFmtId="2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9E206-BC1B-4226-B886-CF92CBA89736}">
  <dimension ref="A1:M23"/>
  <sheetViews>
    <sheetView tabSelected="1" workbookViewId="0">
      <selection activeCell="C17" sqref="C17"/>
    </sheetView>
  </sheetViews>
  <sheetFormatPr defaultRowHeight="15" x14ac:dyDescent="0.25"/>
  <cols>
    <col min="1" max="1" width="17.42578125" bestFit="1" customWidth="1"/>
    <col min="2" max="2" width="13.7109375" bestFit="1" customWidth="1"/>
    <col min="3" max="3" width="14.28515625" bestFit="1" customWidth="1"/>
    <col min="4" max="5" width="13.140625" bestFit="1" customWidth="1"/>
    <col min="6" max="6" width="18" bestFit="1" customWidth="1"/>
    <col min="7" max="7" width="15.42578125" bestFit="1" customWidth="1"/>
  </cols>
  <sheetData>
    <row r="1" spans="1:13" x14ac:dyDescent="0.25">
      <c r="A1" s="1" t="s">
        <v>3</v>
      </c>
      <c r="B1" s="1" t="s">
        <v>1</v>
      </c>
      <c r="C1" s="1" t="s">
        <v>0</v>
      </c>
      <c r="D1" s="1" t="s">
        <v>10</v>
      </c>
      <c r="E1" s="1" t="s">
        <v>8</v>
      </c>
      <c r="F1" s="1" t="s">
        <v>9</v>
      </c>
      <c r="G1" s="1" t="s">
        <v>2</v>
      </c>
      <c r="H1" s="2"/>
      <c r="I1" s="2"/>
      <c r="J1" s="2"/>
      <c r="K1" s="2"/>
      <c r="L1" s="2"/>
      <c r="M1" s="2"/>
    </row>
    <row r="2" spans="1:13" x14ac:dyDescent="0.25">
      <c r="A2" s="3" t="s">
        <v>6</v>
      </c>
      <c r="B2" s="4">
        <v>13.2</v>
      </c>
      <c r="C2" s="4">
        <v>18.600000000000001</v>
      </c>
      <c r="D2" s="4">
        <v>15.1</v>
      </c>
      <c r="E2" s="4">
        <f>SUM(B2:D2)</f>
        <v>46.9</v>
      </c>
      <c r="F2" s="5" t="str">
        <f>IF(E2=MIN(E2:E5),"Melhor fornecedor","")</f>
        <v/>
      </c>
      <c r="G2" s="4">
        <f>MAX(E2:E5)-E2</f>
        <v>0</v>
      </c>
      <c r="H2" s="2"/>
      <c r="I2" s="2"/>
      <c r="J2" s="2"/>
      <c r="K2" s="2"/>
      <c r="L2" s="2"/>
      <c r="M2" s="2"/>
    </row>
    <row r="3" spans="1:13" x14ac:dyDescent="0.25">
      <c r="A3" s="3" t="s">
        <v>5</v>
      </c>
      <c r="B3" s="4">
        <v>11.9</v>
      </c>
      <c r="C3" s="4">
        <v>20.9</v>
      </c>
      <c r="D3" s="4">
        <v>13.9</v>
      </c>
      <c r="E3" s="4">
        <f>SUM(B3:D3)</f>
        <v>46.699999999999996</v>
      </c>
      <c r="F3" s="5" t="str">
        <f t="shared" ref="F3" si="0">IF(E3=MIN(E3:E6),"Melhor fornecedor","")</f>
        <v/>
      </c>
      <c r="G3" s="4">
        <f>MAX(E2:E5)-E3</f>
        <v>0.20000000000000284</v>
      </c>
      <c r="H3" s="2"/>
      <c r="I3" s="2"/>
      <c r="J3" s="2"/>
      <c r="K3" s="2"/>
      <c r="L3" s="2"/>
      <c r="M3" s="2"/>
    </row>
    <row r="4" spans="1:13" x14ac:dyDescent="0.25">
      <c r="A4" s="3" t="s">
        <v>4</v>
      </c>
      <c r="B4" s="4">
        <v>12.5</v>
      </c>
      <c r="C4" s="4">
        <v>19.5</v>
      </c>
      <c r="D4" s="4">
        <v>14.5</v>
      </c>
      <c r="E4" s="4">
        <f>SUM(B4:D4)</f>
        <v>46.5</v>
      </c>
      <c r="F4" s="5" t="str">
        <f>IF(E4=MIN(E4:E16),"Melhor fornecedor","")</f>
        <v/>
      </c>
      <c r="G4" s="4">
        <f>MAX(E2:E5)-E4</f>
        <v>0.39999999999999858</v>
      </c>
      <c r="H4" s="2"/>
      <c r="I4" s="2"/>
      <c r="J4" s="2"/>
      <c r="K4" s="2"/>
      <c r="L4" s="2"/>
      <c r="M4" s="2"/>
    </row>
    <row r="5" spans="1:13" x14ac:dyDescent="0.25">
      <c r="A5" s="3" t="s">
        <v>7</v>
      </c>
      <c r="B5" s="4">
        <v>12.1</v>
      </c>
      <c r="C5" s="4">
        <v>21</v>
      </c>
      <c r="D5" s="4">
        <v>12.9</v>
      </c>
      <c r="E5" s="4">
        <f>SUM(B5:D5)</f>
        <v>46</v>
      </c>
      <c r="F5" s="5" t="str">
        <f>IF(E5=MIN(E5:E16),"Melhor fornecedor","")</f>
        <v>Melhor fornecedor</v>
      </c>
      <c r="G5" s="4">
        <f>MAX(E2:E5)-E5</f>
        <v>0.89999999999999858</v>
      </c>
      <c r="H5" s="2"/>
      <c r="I5" s="2"/>
      <c r="J5" s="2"/>
      <c r="K5" s="2"/>
      <c r="L5" s="2"/>
      <c r="M5" s="2"/>
    </row>
    <row r="6" spans="1:13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spans="1:13" x14ac:dyDescent="0.25">
      <c r="F7" s="2"/>
      <c r="G7" s="2"/>
      <c r="H7" s="2"/>
      <c r="I7" s="2"/>
      <c r="J7" s="2"/>
      <c r="K7" s="2"/>
      <c r="L7" s="2"/>
      <c r="M7" s="2"/>
    </row>
    <row r="8" spans="1:13" x14ac:dyDescent="0.25">
      <c r="F8" s="2"/>
      <c r="G8" s="2"/>
      <c r="H8" s="2"/>
      <c r="I8" s="2"/>
      <c r="J8" s="2"/>
      <c r="K8" s="2"/>
      <c r="L8" s="2"/>
      <c r="M8" s="2"/>
    </row>
    <row r="9" spans="1:13" x14ac:dyDescent="0.25">
      <c r="F9" s="2"/>
      <c r="G9" s="2"/>
      <c r="H9" s="2"/>
      <c r="I9" s="2"/>
      <c r="J9" s="2"/>
      <c r="K9" s="2"/>
      <c r="L9" s="2"/>
      <c r="M9" s="2"/>
    </row>
    <row r="10" spans="1:13" x14ac:dyDescent="0.25">
      <c r="F10" s="2"/>
      <c r="G10" s="2"/>
      <c r="H10" s="2"/>
      <c r="I10" s="2"/>
      <c r="J10" s="2"/>
      <c r="K10" s="2"/>
      <c r="L10" s="2"/>
      <c r="M10" s="2"/>
    </row>
    <row r="11" spans="1:13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3" x14ac:dyDescent="0.25">
      <c r="A12" s="6"/>
      <c r="B12" s="7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x14ac:dyDescent="0.25">
      <c r="A13" s="6"/>
      <c r="B13" s="7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 x14ac:dyDescent="0.25">
      <c r="A14" s="6"/>
      <c r="B14" s="7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3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3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3" x14ac:dyDescent="0.25">
      <c r="B17" s="8"/>
      <c r="C17" s="8"/>
      <c r="D17" s="8"/>
      <c r="E17" s="8"/>
      <c r="F17" s="2"/>
      <c r="G17" s="2"/>
      <c r="H17" s="2"/>
      <c r="I17" s="2"/>
      <c r="J17" s="2"/>
      <c r="K17" s="2"/>
      <c r="L17" s="2"/>
      <c r="M17" s="2"/>
    </row>
    <row r="18" spans="1:13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3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3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</sheetData>
  <autoFilter ref="A1:G1" xr:uid="{09F9E206-BC1B-4226-B886-CF92CBA89736}"/>
  <sortState xmlns:xlrd2="http://schemas.microsoft.com/office/spreadsheetml/2017/richdata2" ref="A2:E5">
    <sortCondition descending="1" ref="E2:E5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Suprimentos2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 NOEMIA DE OLIVEIRA FLORES</dc:creator>
  <cp:lastModifiedBy>DEBORA NOEMIA DE OLIVEIRA FLORES</cp:lastModifiedBy>
  <dcterms:created xsi:type="dcterms:W3CDTF">2026-08-19T18:28:40Z</dcterms:created>
  <dcterms:modified xsi:type="dcterms:W3CDTF">2026-08-20T09:28:41Z</dcterms:modified>
</cp:coreProperties>
</file>